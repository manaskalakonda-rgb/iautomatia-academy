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A-0022\Desktop\academy\business-plan\"/>
    </mc:Choice>
  </mc:AlternateContent>
  <bookViews>
    <workbookView xWindow="0" yWindow="0" windowWidth="21570" windowHeight="10125"/>
  </bookViews>
  <sheets>
    <sheet name="Assumptions" sheetId="1" r:id="rId1"/>
    <sheet name="Year1_Monthly" sheetId="2" r:id="rId2"/>
    <sheet name="Projection_3yr" sheetId="3" r:id="rId3"/>
  </sheets>
  <calcPr calcId="152511"/>
</workbook>
</file>

<file path=xl/calcChain.xml><?xml version="1.0" encoding="utf-8"?>
<calcChain xmlns="http://schemas.openxmlformats.org/spreadsheetml/2006/main">
  <c r="C26" i="3" l="1"/>
  <c r="D14" i="3"/>
  <c r="D33" i="3" s="1"/>
  <c r="C14" i="3"/>
  <c r="C33" i="3" s="1"/>
  <c r="B14" i="3"/>
  <c r="B33" i="3" s="1"/>
  <c r="D10" i="3"/>
  <c r="B10" i="3"/>
  <c r="D7" i="3"/>
  <c r="D29" i="3" s="1"/>
  <c r="C7" i="3"/>
  <c r="C29" i="3" s="1"/>
  <c r="B7" i="3"/>
  <c r="B29" i="3" s="1"/>
  <c r="D5" i="3"/>
  <c r="D27" i="3" s="1"/>
  <c r="C5" i="3"/>
  <c r="C27" i="3" s="1"/>
  <c r="B5" i="3"/>
  <c r="B27" i="3" s="1"/>
  <c r="D4" i="3"/>
  <c r="D9" i="3" s="1"/>
  <c r="D11" i="3" s="1"/>
  <c r="D31" i="3" s="1"/>
  <c r="C4" i="3"/>
  <c r="M6" i="2"/>
  <c r="L6" i="2"/>
  <c r="K6" i="2"/>
  <c r="J6" i="2"/>
  <c r="I6" i="2"/>
  <c r="H6" i="2"/>
  <c r="G6" i="2"/>
  <c r="F6" i="2"/>
  <c r="E6" i="2"/>
  <c r="D6" i="2"/>
  <c r="C6" i="2"/>
  <c r="B6" i="2"/>
  <c r="N6" i="2" s="1"/>
  <c r="I5" i="2"/>
  <c r="I7" i="2" s="1"/>
  <c r="M4" i="2"/>
  <c r="L4" i="2"/>
  <c r="K4" i="2"/>
  <c r="K8" i="2" s="1"/>
  <c r="J4" i="2"/>
  <c r="J5" i="2" s="1"/>
  <c r="J7" i="2" s="1"/>
  <c r="I4" i="2"/>
  <c r="H4" i="2"/>
  <c r="H5" i="2" s="1"/>
  <c r="H7" i="2" s="1"/>
  <c r="G4" i="2"/>
  <c r="F4" i="2"/>
  <c r="F5" i="2" s="1"/>
  <c r="F7" i="2" s="1"/>
  <c r="E4" i="2"/>
  <c r="D4" i="2"/>
  <c r="C4" i="2"/>
  <c r="C8" i="2" s="1"/>
  <c r="B4" i="2"/>
  <c r="B5" i="2" s="1"/>
  <c r="M3" i="2"/>
  <c r="L3" i="2"/>
  <c r="K3" i="2"/>
  <c r="J3" i="2"/>
  <c r="I3" i="2"/>
  <c r="H3" i="2"/>
  <c r="G3" i="2"/>
  <c r="F3" i="2"/>
  <c r="E3" i="2"/>
  <c r="D3" i="2"/>
  <c r="C3" i="2"/>
  <c r="B3" i="2"/>
  <c r="B64" i="1"/>
  <c r="B65" i="1" s="1"/>
  <c r="B66" i="1" s="1"/>
  <c r="B61" i="1"/>
  <c r="B59" i="1"/>
  <c r="B60" i="1" s="1"/>
  <c r="B58" i="1"/>
  <c r="B51" i="1"/>
  <c r="B53" i="1" s="1"/>
  <c r="B20" i="2" s="1"/>
  <c r="N40" i="1"/>
  <c r="B12" i="1" s="1"/>
  <c r="B4" i="3" s="1"/>
  <c r="D27" i="1"/>
  <c r="C27" i="1"/>
  <c r="C10" i="3" s="1"/>
  <c r="B27" i="1"/>
  <c r="L9" i="2" s="1"/>
  <c r="B16" i="1"/>
  <c r="M17" i="2" s="1"/>
  <c r="E8" i="1"/>
  <c r="B37" i="3" s="1"/>
  <c r="D8" i="1"/>
  <c r="C8" i="1"/>
  <c r="H16" i="2" s="1"/>
  <c r="B8" i="1"/>
  <c r="G16" i="2" l="1"/>
  <c r="G5" i="2"/>
  <c r="G7" i="2" s="1"/>
  <c r="B8" i="2"/>
  <c r="B10" i="2" s="1"/>
  <c r="K9" i="2"/>
  <c r="K10" i="2" s="1"/>
  <c r="C9" i="2"/>
  <c r="C10" i="2" s="1"/>
  <c r="E9" i="2"/>
  <c r="F9" i="2"/>
  <c r="J8" i="2"/>
  <c r="M9" i="2"/>
  <c r="I16" i="2"/>
  <c r="H8" i="2"/>
  <c r="C21" i="3"/>
  <c r="C9" i="3"/>
  <c r="C11" i="3" s="1"/>
  <c r="C31" i="3" s="1"/>
  <c r="I13" i="2"/>
  <c r="H13" i="2"/>
  <c r="G13" i="2"/>
  <c r="G14" i="2" s="1"/>
  <c r="F13" i="2"/>
  <c r="F14" i="2" s="1"/>
  <c r="M13" i="2"/>
  <c r="E13" i="2"/>
  <c r="E14" i="2" s="1"/>
  <c r="L13" i="2"/>
  <c r="L14" i="2" s="1"/>
  <c r="D13" i="2"/>
  <c r="D14" i="2" s="1"/>
  <c r="K13" i="2"/>
  <c r="K14" i="2" s="1"/>
  <c r="C13" i="2"/>
  <c r="C14" i="2" s="1"/>
  <c r="J13" i="2"/>
  <c r="J14" i="2" s="1"/>
  <c r="B13" i="2"/>
  <c r="B14" i="2" s="1"/>
  <c r="M14" i="2"/>
  <c r="B26" i="3"/>
  <c r="B9" i="3"/>
  <c r="B11" i="3" s="1"/>
  <c r="B31" i="3" s="1"/>
  <c r="B6" i="3"/>
  <c r="B21" i="3"/>
  <c r="N4" i="2"/>
  <c r="J16" i="2"/>
  <c r="F17" i="2"/>
  <c r="C16" i="1"/>
  <c r="C16" i="2"/>
  <c r="K16" i="2"/>
  <c r="G17" i="2"/>
  <c r="G18" i="2" s="1"/>
  <c r="D26" i="3"/>
  <c r="C5" i="2"/>
  <c r="C7" i="2" s="1"/>
  <c r="K5" i="2"/>
  <c r="K7" i="2" s="1"/>
  <c r="D8" i="2"/>
  <c r="D10" i="2" s="1"/>
  <c r="L8" i="2"/>
  <c r="L10" i="2" s="1"/>
  <c r="G9" i="2"/>
  <c r="H14" i="2"/>
  <c r="D16" i="2"/>
  <c r="L16" i="2"/>
  <c r="H17" i="2"/>
  <c r="H18" i="2" s="1"/>
  <c r="D5" i="2"/>
  <c r="D7" i="2" s="1"/>
  <c r="D11" i="2" s="1"/>
  <c r="L5" i="2"/>
  <c r="L7" i="2" s="1"/>
  <c r="L11" i="2" s="1"/>
  <c r="B7" i="2"/>
  <c r="E8" i="2"/>
  <c r="M8" i="2"/>
  <c r="M10" i="2" s="1"/>
  <c r="H9" i="2"/>
  <c r="I14" i="2"/>
  <c r="E16" i="2"/>
  <c r="M16" i="2"/>
  <c r="M18" i="2" s="1"/>
  <c r="I17" i="2"/>
  <c r="I18" i="2" s="1"/>
  <c r="C6" i="3"/>
  <c r="B19" i="3"/>
  <c r="B20" i="3" s="1"/>
  <c r="B22" i="3" s="1"/>
  <c r="D21" i="3"/>
  <c r="E5" i="2"/>
  <c r="E7" i="2" s="1"/>
  <c r="M5" i="2"/>
  <c r="M7" i="2" s="1"/>
  <c r="M11" i="2" s="1"/>
  <c r="F8" i="2"/>
  <c r="F10" i="2" s="1"/>
  <c r="F11" i="2" s="1"/>
  <c r="I9" i="2"/>
  <c r="F16" i="2"/>
  <c r="B17" i="2"/>
  <c r="J17" i="2"/>
  <c r="D6" i="3"/>
  <c r="G8" i="2"/>
  <c r="G10" i="2" s="1"/>
  <c r="G11" i="2" s="1"/>
  <c r="B9" i="2"/>
  <c r="J9" i="2"/>
  <c r="J10" i="2" s="1"/>
  <c r="J11" i="2" s="1"/>
  <c r="C17" i="2"/>
  <c r="C18" i="2" s="1"/>
  <c r="K17" i="2"/>
  <c r="B16" i="2"/>
  <c r="D17" i="2"/>
  <c r="L17" i="2"/>
  <c r="I8" i="2"/>
  <c r="D9" i="2"/>
  <c r="E17" i="2"/>
  <c r="E18" i="2" s="1"/>
  <c r="C11" i="2" l="1"/>
  <c r="H10" i="2"/>
  <c r="H11" i="2" s="1"/>
  <c r="F18" i="2"/>
  <c r="K11" i="2"/>
  <c r="L18" i="2"/>
  <c r="D18" i="2"/>
  <c r="J18" i="2"/>
  <c r="E10" i="2"/>
  <c r="C19" i="3"/>
  <c r="C20" i="3" s="1"/>
  <c r="C22" i="3" s="1"/>
  <c r="D16" i="1"/>
  <c r="D19" i="3" s="1"/>
  <c r="D20" i="3" s="1"/>
  <c r="D22" i="3" s="1"/>
  <c r="N9" i="2"/>
  <c r="I10" i="2"/>
  <c r="I11" i="2" s="1"/>
  <c r="E11" i="2"/>
  <c r="B8" i="3"/>
  <c r="B28" i="3"/>
  <c r="D28" i="3"/>
  <c r="D8" i="3"/>
  <c r="N5" i="2"/>
  <c r="B18" i="2"/>
  <c r="C28" i="3"/>
  <c r="C8" i="3"/>
  <c r="B11" i="2"/>
  <c r="N7" i="2"/>
  <c r="K18" i="2"/>
  <c r="N8" i="2"/>
  <c r="B12" i="2" l="1"/>
  <c r="C12" i="2" s="1"/>
  <c r="D12" i="2" s="1"/>
  <c r="E12" i="2" s="1"/>
  <c r="F12" i="2" s="1"/>
  <c r="G12" i="2" s="1"/>
  <c r="H12" i="2" s="1"/>
  <c r="I12" i="2" s="1"/>
  <c r="J12" i="2" s="1"/>
  <c r="K12" i="2" s="1"/>
  <c r="L12" i="2" s="1"/>
  <c r="M12" i="2" s="1"/>
  <c r="N11" i="2"/>
  <c r="B21" i="2"/>
  <c r="C20" i="2" s="1"/>
  <c r="C21" i="2" s="1"/>
  <c r="D20" i="2" s="1"/>
  <c r="D21" i="2" s="1"/>
  <c r="E20" i="2" s="1"/>
  <c r="E21" i="2" s="1"/>
  <c r="F20" i="2" s="1"/>
  <c r="F21" i="2" s="1"/>
  <c r="G20" i="2" s="1"/>
  <c r="G21" i="2" s="1"/>
  <c r="H20" i="2" s="1"/>
  <c r="H21" i="2" s="1"/>
  <c r="I20" i="2" s="1"/>
  <c r="I21" i="2" s="1"/>
  <c r="J20" i="2" s="1"/>
  <c r="J21" i="2" s="1"/>
  <c r="K20" i="2" s="1"/>
  <c r="K21" i="2" s="1"/>
  <c r="L20" i="2" s="1"/>
  <c r="L21" i="2" s="1"/>
  <c r="M20" i="2" s="1"/>
  <c r="M21" i="2" s="1"/>
  <c r="B12" i="3"/>
  <c r="B13" i="3" s="1"/>
  <c r="B30" i="3"/>
  <c r="C12" i="3"/>
  <c r="C13" i="3" s="1"/>
  <c r="C30" i="3"/>
  <c r="N10" i="2"/>
  <c r="D12" i="3"/>
  <c r="D30" i="3"/>
  <c r="D13" i="3"/>
  <c r="C15" i="3" l="1"/>
  <c r="C32" i="3"/>
  <c r="B36" i="3"/>
  <c r="B15" i="3"/>
  <c r="B16" i="3" s="1"/>
  <c r="B32" i="3"/>
  <c r="D15" i="3"/>
  <c r="D32" i="3"/>
  <c r="C16" i="3" l="1"/>
  <c r="D16" i="3"/>
</calcChain>
</file>

<file path=xl/sharedStrings.xml><?xml version="1.0" encoding="utf-8"?>
<sst xmlns="http://schemas.openxmlformats.org/spreadsheetml/2006/main" count="181" uniqueCount="142">
  <si>
    <t>iAutomatia Academy (Hyderabad Center) - Assumptions</t>
  </si>
  <si>
    <t>All figures are PLANNING ASSUMPTIONS TO VALIDATE (source: founder's brief, Sep 2026). Blue = input you can change; black = calculated; yellow = key lever. Amounts in Rs unless stated.</t>
  </si>
  <si>
    <t>Programs</t>
  </si>
  <si>
    <t>Fee (Rs, excl. GST)</t>
  </si>
  <si>
    <t>Weeks</t>
  </si>
  <si>
    <t>Hours</t>
  </si>
  <si>
    <t>Enrolment mix</t>
  </si>
  <si>
    <t>Notes</t>
  </si>
  <si>
    <t>Foundation</t>
  </si>
  <si>
    <t>Integrator</t>
  </si>
  <si>
    <t>Specialist</t>
  </si>
  <si>
    <t>Blend (weighted by mix)</t>
  </si>
  <si>
    <t>B8 = blended LIST fee; C8 = average program length in weeks. Mix must total 100%.</t>
  </si>
  <si>
    <t>Yearly drivers</t>
  </si>
  <si>
    <t>Y1 (2027)</t>
  </si>
  <si>
    <t>Y2 (2028)</t>
  </si>
  <si>
    <t>Y3 (2029)</t>
  </si>
  <si>
    <t>Blended effective fee per student (Rs)</t>
  </si>
  <si>
    <t>Y1 about 1% below list blend (B8) to allow for early-bird/EMI offers; Y2-Y3 assume price increases.</t>
  </si>
  <si>
    <t>Students enrolled</t>
  </si>
  <si>
    <t>Y1 = sum of the monthly enrolments in row 40.</t>
  </si>
  <si>
    <t>Variable cost per student (Rs)</t>
  </si>
  <si>
    <t>Consumables, kits, certificate, payment/EMI charges.</t>
  </si>
  <si>
    <t>Corporate / other revenue (Rs)</t>
  </si>
  <si>
    <t>Corporate upskilling programs, workshops.</t>
  </si>
  <si>
    <t>Cobot cells added in year</t>
  </si>
  <si>
    <t>Y2: cells 4-5 (decision Sep 2027); Y3: cell 6.</t>
  </si>
  <si>
    <t>Cobot cells in operation (year end)</t>
  </si>
  <si>
    <t>Fixed operating costs per month (Rs)</t>
  </si>
  <si>
    <t>Rent (~2,000 sq ft; larger space from Y2)</t>
  </si>
  <si>
    <t>Y1 from brief.</t>
  </si>
  <si>
    <t>Trainers (Y1: 1 lead + 3)</t>
  </si>
  <si>
    <t>Y1 from brief; trainers added with cells 4-6.</t>
  </si>
  <si>
    <t>Centre manager + counsellors / placement</t>
  </si>
  <si>
    <t>Y1: manager + 2 counsellors/placement.</t>
  </si>
  <si>
    <t>Marketing</t>
  </si>
  <si>
    <t>Utilities, maintenance, consumables</t>
  </si>
  <si>
    <t>Includes robot AMC from Y2.</t>
  </si>
  <si>
    <t>Admin</t>
  </si>
  <si>
    <t>Contingency</t>
  </si>
  <si>
    <t>Rounds Y1 total to Rs 9.0 L/month.</t>
  </si>
  <si>
    <t>Total fixed opex per month</t>
  </si>
  <si>
    <t>Y2-Y3 line items are estimates sized to the brief's total-cost targets (Rs 1.73 Cr, Rs 2.27 Cr).</t>
  </si>
  <si>
    <t>Capacity &amp; general</t>
  </si>
  <si>
    <t>Value</t>
  </si>
  <si>
    <t>Launch month</t>
  </si>
  <si>
    <t>Jan 2027</t>
  </si>
  <si>
    <t>First batch.</t>
  </si>
  <si>
    <t>Cobot cells at launch</t>
  </si>
  <si>
    <t>Max students per cobot cell</t>
  </si>
  <si>
    <t>Batch slots per week</t>
  </si>
  <si>
    <t>Morning, afternoon, evening (weekdays) + weekend.</t>
  </si>
  <si>
    <t>Weeks per month</t>
  </si>
  <si>
    <t>Batch size</t>
  </si>
  <si>
    <t>3 cells x 4 students per cell.</t>
  </si>
  <si>
    <t>Corporate revenue starts in Y1 month # (1 = Jan)</t>
  </si>
  <si>
    <t>Y1 corporate revenue spread evenly from this month.</t>
  </si>
  <si>
    <t>Expansion capex per cobot cell (Rs)</t>
  </si>
  <si>
    <t>Rs 14 L cobot cell + gripper, Rs 2 L vision sensor (from launch capex).</t>
  </si>
  <si>
    <t>Year-1 monthly enrolments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</si>
  <si>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</si>
  <si>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</si>
  <si>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</si>
  <si>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</si>
  <si>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</si>
  <si>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</si>
  <si>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</si>
  <si>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</si>
  <si>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</si>
  <si>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</si>
  <si>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</si>
  <si>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</si>
  <si>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Total</t>
  </si>
  <si>
    <t>New enrolments</t>
  </si>
  <si>
    <t>Launch capex &amp; funding (Rs)</t>
  </si>
  <si>
    <t>Amount (Rs)</t>
  </si>
  <si>
    <t>3 JAKA cobot cells with grippers</t>
  </si>
  <si>
    <t>6 PLC trainer kits (Siemens / Mitsubishi / Allen-Bradley)</t>
  </si>
  <si>
    <t>3 vision sensors</t>
  </si>
  <si>
    <t>Fit-out (~2,000 sq ft)</t>
  </si>
  <si>
    <t>Laptops</t>
  </si>
  <si>
    <t>Software licences</t>
  </si>
  <si>
    <t>Pre-launch marketing</t>
  </si>
  <si>
    <t>Deposits / misc</t>
  </si>
  <si>
    <t>Total launch capex</t>
  </si>
  <si>
    <t>Funding ask</t>
  </si>
  <si>
    <t>Working capital from funding</t>
  </si>
  <si>
    <t>Covers the Y1 ramp-up losses before break-even (see Year1_Monthly cash rows).</t>
  </si>
  <si>
    <t>Market sizing (approximate estimates)</t>
  </si>
  <si>
    <t>Telangana core-branch engineering graduates / yr</t>
  </si>
  <si>
    <t>Mech/EEE/ECE/EIE/Mechatronics. Approximate; validate with AICTE / TS council data.</t>
  </si>
  <si>
    <t>Serviceable Hyderabad market - paying learners / yr</t>
  </si>
  <si>
    <t>Includes working engineers. Approximate.</t>
  </si>
  <si>
    <t>Serviceable market as % of graduates</t>
  </si>
  <si>
    <t>Serviceable market value (Rs)</t>
  </si>
  <si>
    <t>Learners x Y1 blended fee (about Rs 36 Cr).</t>
  </si>
  <si>
    <t>Serviceable market value (Rs Cr)</t>
  </si>
  <si>
    <t>Year-3 market share</t>
  </si>
  <si>
    <t>Break-even (Y1)</t>
  </si>
  <si>
    <t>Contribution per student (Rs)</t>
  </si>
  <si>
    <t>Break-even enrolments / month (exact)</t>
  </si>
  <si>
    <t>Training revenue only; excludes corporate revenue.</t>
  </si>
  <si>
    <t>Break-even enrolments / month (rounded up)</t>
  </si>
  <si>
    <t>Year 1 monthly model (Jan-Dec 2027) - planning assumptions to validate</t>
  </si>
  <si>
    <t>Month #</t>
  </si>
  <si>
    <t>Rs</t>
  </si>
  <si>
    <t>Y1 total</t>
  </si>
  <si>
    <t>Training revenue</t>
  </si>
  <si>
    <t>Corporate / other revenue</t>
  </si>
  <si>
    <t>Total revenue</t>
  </si>
  <si>
    <t>Variable costs</t>
  </si>
  <si>
    <t>Fixed operating costs</t>
  </si>
  <si>
    <t>Total costs</t>
  </si>
  <si>
    <t>EBITDA</t>
  </si>
  <si>
    <t>Cumulative EBITDA</t>
  </si>
  <si>
    <t>Break-even enrolments / month</t>
  </si>
  <si>
    <t>At or above break-even?</t>
  </si>
  <si>
    <t>Capacity check</t>
  </si>
  <si>
    <t>Est. students in training (approx.)</t>
  </si>
  <si>
    <t>Seat capacity (cells x students x slots)</t>
  </si>
  <si>
    <t>Capacity utilisation</t>
  </si>
  <si>
    <t>Cash (funding less launch capex, plus EBITDA)</t>
  </si>
  <si>
    <t>Opening cash</t>
  </si>
  <si>
    <t>Closing cash</t>
  </si>
  <si>
    <t>Revenue is recognised in the month of enrolment (cash basis). EMI collections, GST, taxes and depreciation are not modelled.</t>
  </si>
  <si>
    <t>Students in training = enrolments x average program weeks / weeks per month (steady-state approximation).</t>
  </si>
  <si>
    <t>3-year projection - planning assumptions to validate</t>
  </si>
  <si>
    <t>Blended fee per student</t>
  </si>
  <si>
    <t>EBITDA margin</t>
  </si>
  <si>
    <t>Expansion capex</t>
  </si>
  <si>
    <t>Cash flow after expansion capex</t>
  </si>
  <si>
    <t>Cumulative cash after launch capex</t>
  </si>
  <si>
    <t>Avg students in training (approx.)</t>
  </si>
  <si>
    <t>Average utilisation</t>
  </si>
  <si>
    <t>Y1 average understates the year-end peak: see Year1_Monthly row 18 (Dec 2027 reaches about 100% on 3 cells).</t>
  </si>
  <si>
    <t>Summary (Rs Cr)</t>
  </si>
  <si>
    <t>Students</t>
  </si>
  <si>
    <t>Blended fee (Rs '000)</t>
  </si>
  <si>
    <t>Corporate / other</t>
  </si>
  <si>
    <t>Checks</t>
  </si>
  <si>
    <t>Y1 EBITDA: annual minus monthly model (should be 0)</t>
  </si>
  <si>
    <t>Program mix totals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</si>
</sst>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;\(#,##0\);&quot;-&quot;"/>
    <numFmt numFmtId="165" formatCode="0.0%;\(0.0%\);&quot;-&quot;"/>
    <numFmt numFmtId="166" formatCode="0.0;\(0.0\);&quot;-&quot;"/>
    <numFmt numFmtId="167" formatCode="0.00;\(0.00\);&quot;-&quot;"/>
  </numFmts>
  <fonts count="9" x14ac:knownFonts="1">
    <font>
      <sz val="11"/>
      <color theme="1"/>
      <name val="Calibri"/>
      <family val="2"/>
      <scheme val="minor"/>
    </font>
    <font>
      <b/>
      <sz val="14"/>
      <color rgb="FF0C1A2E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b/>
      <sz val="11"/>
      <name val="Arial"/>
    </font>
    <font>
      <b/>
      <sz val="11"/>
      <color rgb="FF000000"/>
      <name val="Arial"/>
    </font>
    <font>
      <sz val="11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C1A2E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 wrapText="1"/>
    </xf>
    <xf numFmtId="0" fontId="4" fillId="0" borderId="0" xfId="0" applyFont="1"/>
    <xf numFmtId="164" fontId="5" fillId="0" borderId="0" xfId="0" applyNumberFormat="1" applyFont="1"/>
    <xf numFmtId="1" fontId="5" fillId="0" borderId="0" xfId="0" applyNumberFormat="1" applyFont="1"/>
    <xf numFmtId="165" fontId="5" fillId="3" borderId="0" xfId="0" applyNumberFormat="1" applyFont="1" applyFill="1"/>
    <xf numFmtId="0" fontId="6" fillId="0" borderId="1" xfId="0" applyFont="1" applyBorder="1"/>
    <xf numFmtId="164" fontId="7" fillId="0" borderId="1" xfId="0" applyNumberFormat="1" applyFont="1" applyBorder="1"/>
    <xf numFmtId="166" fontId="7" fillId="0" borderId="1" xfId="0" applyNumberFormat="1" applyFont="1" applyBorder="1"/>
    <xf numFmtId="1" fontId="7" fillId="0" borderId="1" xfId="0" applyNumberFormat="1" applyFont="1" applyBorder="1"/>
    <xf numFmtId="165" fontId="7" fillId="0" borderId="1" xfId="0" applyNumberFormat="1" applyFont="1" applyBorder="1"/>
    <xf numFmtId="164" fontId="5" fillId="3" borderId="0" xfId="0" applyNumberFormat="1" applyFont="1" applyFill="1"/>
    <xf numFmtId="164" fontId="4" fillId="0" borderId="0" xfId="0" applyNumberFormat="1" applyFont="1"/>
    <xf numFmtId="3" fontId="5" fillId="3" borderId="0" xfId="0" applyNumberFormat="1" applyFont="1" applyFill="1"/>
    <xf numFmtId="1" fontId="4" fillId="0" borderId="0" xfId="0" applyNumberFormat="1" applyFont="1"/>
    <xf numFmtId="49" fontId="5" fillId="0" borderId="0" xfId="0" applyNumberFormat="1" applyFont="1"/>
    <xf numFmtId="2" fontId="5" fillId="0" borderId="0" xfId="0" applyNumberFormat="1" applyFont="1"/>
    <xf numFmtId="0" fontId="3" fillId="2" borderId="0" xfId="0" applyFont="1" applyFill="1" applyAlignment="1">
      <alignment horizontal="center"/>
    </xf>
    <xf numFmtId="1" fontId="5" fillId="3" borderId="0" xfId="0" applyNumberFormat="1" applyFont="1" applyFill="1"/>
    <xf numFmtId="1" fontId="7" fillId="0" borderId="0" xfId="0" applyNumberFormat="1" applyFont="1"/>
    <xf numFmtId="3" fontId="5" fillId="0" borderId="0" xfId="0" applyNumberFormat="1" applyFont="1"/>
    <xf numFmtId="165" fontId="4" fillId="0" borderId="0" xfId="0" applyNumberFormat="1" applyFont="1"/>
    <xf numFmtId="167" fontId="4" fillId="0" borderId="0" xfId="0" applyNumberFormat="1" applyFont="1"/>
    <xf numFmtId="166" fontId="4" fillId="0" borderId="0" xfId="0" applyNumberFormat="1" applyFont="1"/>
    <xf numFmtId="0" fontId="6" fillId="0" borderId="0" xfId="0" applyFont="1"/>
    <xf numFmtId="49" fontId="3" fillId="2" borderId="0" xfId="0" applyNumberFormat="1" applyFont="1" applyFill="1" applyAlignment="1">
      <alignment horizontal="center"/>
    </xf>
    <xf numFmtId="1" fontId="8" fillId="0" borderId="0" xfId="0" applyNumberFormat="1" applyFont="1"/>
    <xf numFmtId="164" fontId="7" fillId="0" borderId="0" xfId="0" applyNumberFormat="1" applyFont="1"/>
    <xf numFmtId="164" fontId="8" fillId="0" borderId="0" xfId="0" applyNumberFormat="1" applyFont="1"/>
    <xf numFmtId="49" fontId="4" fillId="0" borderId="0" xfId="0" applyNumberFormat="1" applyFont="1"/>
    <xf numFmtId="3" fontId="8" fillId="0" borderId="0" xfId="0" applyNumberFormat="1" applyFont="1"/>
    <xf numFmtId="3" fontId="4" fillId="0" borderId="0" xfId="0" applyNumberFormat="1" applyFont="1"/>
    <xf numFmtId="167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Year 1 (2027): new enrolments per month vs break-even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Year1_Monthly!$A$4</c:f>
              <c:strCache>
                <c:ptCount val="1"/>
                <c:pt idx="0">
                  <c:v>New enrolments</c:v>
                </c:pt>
              </c:strCache>
            </c:strRef>
          </c:tx>
          <c:spPr>
            <a:solidFill>
              <a:srgbClr val="1F3A5F"/>
            </a:solidFill>
            <a:ln>
              <a:prstDash val="solid"/>
            </a:ln>
          </c:spPr>
          <c:invertIfNegative val="1"/>
          <c:cat>
            <c:strRef>
              <c:f>Year1_Monthly!$B$3:$M$3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Year1_Monthly!$B$4:$M$4</c:f>
              <c:numCache>
                <c:formatCode>0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25090160"/>
        <c:axId val="424331256"/>
      </c:barChart>
      <c:lineChart>
        <c:grouping val="standard"/>
        <c:varyColors val="1"/>
        <c:ser>
          <c:idx val="1"/>
          <c:order val="1"/>
          <c:tx>
            <c:strRef>
              <c:f>Year1_Monthly!$A$13</c:f>
              <c:strCache>
                <c:ptCount val="1"/>
                <c:pt idx="0">
                  <c:v>Break-even enrolments / month</c:v>
                </c:pt>
              </c:strCache>
            </c:strRef>
          </c:tx>
          <c:spPr>
            <a:ln w="38100">
              <a:solidFill>
                <a:srgbClr val="F5A524"/>
              </a:solidFill>
              <a:prstDash val="dash"/>
            </a:ln>
          </c:spPr>
          <c:marker>
            <c:symbol val="none"/>
          </c:marker>
          <c:cat>
            <c:strRef>
              <c:f>Year1_Monthly!$B$3:$M$3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Year1_Monthly!$B$13:$M$13</c:f>
              <c:numCache>
                <c:formatCode>0</c:formatCode>
                <c:ptCount val="12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090160"/>
        <c:axId val="424331256"/>
      </c:lineChart>
      <c:catAx>
        <c:axId val="42509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24331256"/>
        <c:crosses val="autoZero"/>
        <c:auto val="1"/>
        <c:lblAlgn val="ctr"/>
        <c:lblOffset val="100"/>
        <c:noMultiLvlLbl val="1"/>
      </c:catAx>
      <c:valAx>
        <c:axId val="424331256"/>
        <c:scaling>
          <c:orientation val="minMax"/>
          <c:min val="0"/>
        </c:scaling>
        <c:delete val="0"/>
        <c:axPos val="l"/>
        <c:majorGridlines/>
        <c:numFmt formatCode="0" sourceLinked="1"/>
        <c:majorTickMark val="none"/>
        <c:minorTickMark val="none"/>
        <c:tickLblPos val="nextTo"/>
        <c:crossAx val="42509016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792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0" customWidth="1"/>
    <col min="2" max="5" width="15" customWidth="1"/>
    <col min="6" max="6" width="11" customWidth="1"/>
    <col min="7" max="14" width="9" customWidth="1"/>
  </cols>
  <sheetData>
    <row r="1" spans="1:6" ht="18" x14ac:dyDescent="0.25">
      <c r="A1" s="1" t="s">
        <v>0</v>
      </c>
    </row>
    <row r="2" spans="1:6" x14ac:dyDescent="0.25">
      <c r="A2" s="2" t="s">
        <v>1</v>
      </c>
    </row>
    <row r="4" spans="1:6" ht="30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5" t="s">
        <v>8</v>
      </c>
      <c r="B5" s="6">
        <v>35000</v>
      </c>
      <c r="C5" s="7">
        <v>4</v>
      </c>
      <c r="D5" s="7">
        <v>80</v>
      </c>
      <c r="E5" s="8">
        <v>0.4</v>
      </c>
    </row>
    <row r="6" spans="1:6" x14ac:dyDescent="0.25">
      <c r="A6" s="5" t="s">
        <v>9</v>
      </c>
      <c r="B6" s="6">
        <v>65000</v>
      </c>
      <c r="C6" s="7">
        <v>8</v>
      </c>
      <c r="D6" s="7">
        <v>160</v>
      </c>
      <c r="E6" s="8">
        <v>0.35</v>
      </c>
    </row>
    <row r="7" spans="1:6" x14ac:dyDescent="0.25">
      <c r="A7" s="5" t="s">
        <v>10</v>
      </c>
      <c r="B7" s="6">
        <v>95000</v>
      </c>
      <c r="C7" s="7">
        <v>12</v>
      </c>
      <c r="D7" s="7">
        <v>240</v>
      </c>
      <c r="E7" s="8">
        <v>0.25</v>
      </c>
    </row>
    <row r="8" spans="1:6" x14ac:dyDescent="0.25">
      <c r="A8" s="9" t="s">
        <v>11</v>
      </c>
      <c r="B8" s="10">
        <f>SUMPRODUCT(B5:B7,$E$5:$E$7)</f>
        <v>60500</v>
      </c>
      <c r="C8" s="11">
        <f>SUMPRODUCT(C5:C7,$E$5:$E$7)</f>
        <v>7.4</v>
      </c>
      <c r="D8" s="12">
        <f>SUMPRODUCT(D5:D7,$E$5:$E$7)</f>
        <v>148</v>
      </c>
      <c r="E8" s="13">
        <f>SUM(E5:E7)</f>
        <v>1</v>
      </c>
      <c r="F8" s="2" t="s">
        <v>12</v>
      </c>
    </row>
    <row r="10" spans="1:6" x14ac:dyDescent="0.25">
      <c r="A10" s="3" t="s">
        <v>13</v>
      </c>
      <c r="B10" s="4" t="s">
        <v>14</v>
      </c>
      <c r="C10" s="4" t="s">
        <v>15</v>
      </c>
      <c r="D10" s="4" t="s">
        <v>16</v>
      </c>
      <c r="E10" s="4"/>
      <c r="F10" s="4" t="s">
        <v>7</v>
      </c>
    </row>
    <row r="11" spans="1:6" x14ac:dyDescent="0.25">
      <c r="A11" s="5" t="s">
        <v>17</v>
      </c>
      <c r="B11" s="14">
        <v>60000</v>
      </c>
      <c r="C11" s="14">
        <v>62000</v>
      </c>
      <c r="D11" s="14">
        <v>65000</v>
      </c>
      <c r="F11" s="2" t="s">
        <v>18</v>
      </c>
    </row>
    <row r="12" spans="1:6" x14ac:dyDescent="0.25">
      <c r="A12" s="5" t="s">
        <v>19</v>
      </c>
      <c r="B12" s="15">
        <f>N40</f>
        <v>204</v>
      </c>
      <c r="C12" s="16">
        <v>420</v>
      </c>
      <c r="D12" s="16">
        <v>540</v>
      </c>
      <c r="F12" s="2" t="s">
        <v>20</v>
      </c>
    </row>
    <row r="13" spans="1:6" x14ac:dyDescent="0.25">
      <c r="A13" s="5" t="s">
        <v>21</v>
      </c>
      <c r="B13" s="6">
        <v>3000</v>
      </c>
      <c r="C13" s="6">
        <v>3000</v>
      </c>
      <c r="D13" s="6">
        <v>3000</v>
      </c>
      <c r="F13" s="2" t="s">
        <v>22</v>
      </c>
    </row>
    <row r="14" spans="1:6" x14ac:dyDescent="0.25">
      <c r="A14" s="5" t="s">
        <v>23</v>
      </c>
      <c r="B14" s="6">
        <v>1000000</v>
      </c>
      <c r="C14" s="6">
        <v>4000000</v>
      </c>
      <c r="D14" s="6">
        <v>7500000</v>
      </c>
      <c r="F14" s="2" t="s">
        <v>24</v>
      </c>
    </row>
    <row r="15" spans="1:6" x14ac:dyDescent="0.25">
      <c r="A15" s="5" t="s">
        <v>25</v>
      </c>
      <c r="B15" s="7">
        <v>0</v>
      </c>
      <c r="C15" s="7">
        <v>2</v>
      </c>
      <c r="D15" s="7">
        <v>1</v>
      </c>
      <c r="F15" s="2" t="s">
        <v>26</v>
      </c>
    </row>
    <row r="16" spans="1:6" x14ac:dyDescent="0.25">
      <c r="A16" s="5" t="s">
        <v>27</v>
      </c>
      <c r="B16" s="17">
        <f>$B$31+B15</f>
        <v>3</v>
      </c>
      <c r="C16" s="17">
        <f>B16+C15</f>
        <v>5</v>
      </c>
      <c r="D16" s="17">
        <f>C16+D15</f>
        <v>6</v>
      </c>
    </row>
    <row r="19" spans="1:6" x14ac:dyDescent="0.25">
      <c r="A19" s="3" t="s">
        <v>28</v>
      </c>
      <c r="B19" s="4" t="s">
        <v>14</v>
      </c>
      <c r="C19" s="4" t="s">
        <v>15</v>
      </c>
      <c r="D19" s="4" t="s">
        <v>16</v>
      </c>
      <c r="E19" s="4"/>
      <c r="F19" s="4" t="s">
        <v>7</v>
      </c>
    </row>
    <row r="20" spans="1:6" x14ac:dyDescent="0.25">
      <c r="A20" s="5" t="s">
        <v>29</v>
      </c>
      <c r="B20" s="6">
        <v>140000</v>
      </c>
      <c r="C20" s="6">
        <v>160000</v>
      </c>
      <c r="D20" s="6">
        <v>190000</v>
      </c>
      <c r="F20" s="2" t="s">
        <v>30</v>
      </c>
    </row>
    <row r="21" spans="1:6" x14ac:dyDescent="0.25">
      <c r="A21" s="5" t="s">
        <v>31</v>
      </c>
      <c r="B21" s="6">
        <v>345000</v>
      </c>
      <c r="C21" s="6">
        <v>520000</v>
      </c>
      <c r="D21" s="6">
        <v>690000</v>
      </c>
      <c r="F21" s="2" t="s">
        <v>32</v>
      </c>
    </row>
    <row r="22" spans="1:6" x14ac:dyDescent="0.25">
      <c r="A22" s="5" t="s">
        <v>33</v>
      </c>
      <c r="B22" s="6">
        <v>150000</v>
      </c>
      <c r="C22" s="6">
        <v>220000</v>
      </c>
      <c r="D22" s="6">
        <v>280000</v>
      </c>
      <c r="F22" s="2" t="s">
        <v>34</v>
      </c>
    </row>
    <row r="23" spans="1:6" x14ac:dyDescent="0.25">
      <c r="A23" s="5" t="s">
        <v>35</v>
      </c>
      <c r="B23" s="6">
        <v>150000</v>
      </c>
      <c r="C23" s="6">
        <v>250000</v>
      </c>
      <c r="D23" s="6">
        <v>320000</v>
      </c>
    </row>
    <row r="24" spans="1:6" x14ac:dyDescent="0.25">
      <c r="A24" s="5" t="s">
        <v>36</v>
      </c>
      <c r="B24" s="6">
        <v>60000</v>
      </c>
      <c r="C24" s="6">
        <v>100000</v>
      </c>
      <c r="D24" s="6">
        <v>135000</v>
      </c>
      <c r="F24" s="2" t="s">
        <v>37</v>
      </c>
    </row>
    <row r="25" spans="1:6" x14ac:dyDescent="0.25">
      <c r="A25" s="5" t="s">
        <v>38</v>
      </c>
      <c r="B25" s="6">
        <v>50000</v>
      </c>
      <c r="C25" s="6">
        <v>85000</v>
      </c>
      <c r="D25" s="6">
        <v>135000</v>
      </c>
    </row>
    <row r="26" spans="1:6" x14ac:dyDescent="0.25">
      <c r="A26" s="5" t="s">
        <v>39</v>
      </c>
      <c r="B26" s="6">
        <v>5000</v>
      </c>
      <c r="C26" s="6">
        <v>5000</v>
      </c>
      <c r="D26" s="6">
        <v>5000</v>
      </c>
      <c r="F26" s="2" t="s">
        <v>40</v>
      </c>
    </row>
    <row r="27" spans="1:6" x14ac:dyDescent="0.25">
      <c r="A27" s="9" t="s">
        <v>41</v>
      </c>
      <c r="B27" s="10">
        <f>SUM(B20:B26)</f>
        <v>900000</v>
      </c>
      <c r="C27" s="10">
        <f>SUM(C20:C26)</f>
        <v>1340000</v>
      </c>
      <c r="D27" s="10">
        <f>SUM(D20:D26)</f>
        <v>1755000</v>
      </c>
      <c r="F27" s="2" t="s">
        <v>42</v>
      </c>
    </row>
    <row r="29" spans="1:6" x14ac:dyDescent="0.25">
      <c r="A29" s="3" t="s">
        <v>43</v>
      </c>
      <c r="B29" s="4" t="s">
        <v>44</v>
      </c>
      <c r="C29" s="4"/>
      <c r="D29" s="4"/>
      <c r="E29" s="4"/>
      <c r="F29" s="4" t="s">
        <v>7</v>
      </c>
    </row>
    <row r="30" spans="1:6" x14ac:dyDescent="0.25">
      <c r="A30" s="5" t="s">
        <v>45</v>
      </c>
      <c r="B30" s="18" t="s">
        <v>46</v>
      </c>
      <c r="F30" s="2" t="s">
        <v>47</v>
      </c>
    </row>
    <row r="31" spans="1:6" x14ac:dyDescent="0.25">
      <c r="A31" s="5" t="s">
        <v>48</v>
      </c>
      <c r="B31" s="7">
        <v>3</v>
      </c>
    </row>
    <row r="32" spans="1:6" x14ac:dyDescent="0.25">
      <c r="A32" s="5" t="s">
        <v>49</v>
      </c>
      <c r="B32" s="7">
        <v>4</v>
      </c>
    </row>
    <row r="33" spans="1:14" x14ac:dyDescent="0.25">
      <c r="A33" s="5" t="s">
        <v>50</v>
      </c>
      <c r="B33" s="7">
        <v>4</v>
      </c>
      <c r="F33" s="2" t="s">
        <v>51</v>
      </c>
    </row>
    <row r="34" spans="1:14" x14ac:dyDescent="0.25">
      <c r="A34" s="5" t="s">
        <v>52</v>
      </c>
      <c r="B34" s="19">
        <v>4.33</v>
      </c>
    </row>
    <row r="35" spans="1:14" x14ac:dyDescent="0.25">
      <c r="A35" s="5" t="s">
        <v>53</v>
      </c>
      <c r="B35" s="7">
        <v>12</v>
      </c>
      <c r="F35" s="2" t="s">
        <v>54</v>
      </c>
    </row>
    <row r="36" spans="1:14" x14ac:dyDescent="0.25">
      <c r="A36" s="5" t="s">
        <v>55</v>
      </c>
      <c r="B36" s="7">
        <v>7</v>
      </c>
      <c r="F36" s="2" t="s">
        <v>56</v>
      </c>
    </row>
    <row r="37" spans="1:14" x14ac:dyDescent="0.25">
      <c r="A37" s="5" t="s">
        <v>57</v>
      </c>
      <c r="B37" s="6">
        <v>1600000</v>
      </c>
      <c r="F37" s="2" t="s">
        <v>58</v>
      </c>
    </row>
    <row r="39" spans="1:14" x14ac:dyDescent="0.25">
      <c r="A39" s="3" t="s">
        <v>59</v>
      </c>
      <c r="B39" s="20" t="s">
        <v>60</v>
      </c>
      <c r="C39" s="20" t="s">
        <v>61</v>
      </c>
      <c r="D39" s="20" t="s">
        <v>62</v>
      </c>
      <c r="E39" s="20" t="s">
        <v>63</v>
      </c>
      <c r="F39" s="20" t="s">
        <v>64</v>
      </c>
      <c r="G39" s="20" t="s">
        <v>65</v>
      </c>
      <c r="H39" s="20" t="s">
        <v>66</v>
      </c>
      <c r="I39" s="20" t="s">
        <v>67</v>
      </c>
      <c r="J39" s="20" t="s">
        <v>68</v>
      </c>
      <c r="K39" s="20" t="s">
        <v>69</v>
      </c>
      <c r="L39" s="20" t="s">
        <v>70</v>
      </c>
      <c r="M39" s="20" t="s">
        <v>71</v>
      </c>
      <c r="N39" s="3" t="s">
        <v>72</v>
      </c>
    </row>
    <row r="40" spans="1:14" x14ac:dyDescent="0.25">
      <c r="A40" s="5" t="s">
        <v>73</v>
      </c>
      <c r="B40" s="21">
        <v>6</v>
      </c>
      <c r="C40" s="21">
        <v>8</v>
      </c>
      <c r="D40" s="21">
        <v>10</v>
      </c>
      <c r="E40" s="21">
        <v>12</v>
      </c>
      <c r="F40" s="21">
        <v>14</v>
      </c>
      <c r="G40" s="21">
        <v>16</v>
      </c>
      <c r="H40" s="21">
        <v>18</v>
      </c>
      <c r="I40" s="21">
        <v>20</v>
      </c>
      <c r="J40" s="21">
        <v>22</v>
      </c>
      <c r="K40" s="21">
        <v>24</v>
      </c>
      <c r="L40" s="21">
        <v>26</v>
      </c>
      <c r="M40" s="21">
        <v>28</v>
      </c>
      <c r="N40" s="22">
        <f>SUM(B40:M40)</f>
        <v>204</v>
      </c>
    </row>
    <row r="42" spans="1:14" x14ac:dyDescent="0.25">
      <c r="A42" s="3" t="s">
        <v>74</v>
      </c>
      <c r="B42" s="4" t="s">
        <v>75</v>
      </c>
      <c r="C42" s="4"/>
      <c r="D42" s="4"/>
      <c r="E42" s="4"/>
      <c r="F42" s="4" t="s">
        <v>7</v>
      </c>
    </row>
    <row r="43" spans="1:14" x14ac:dyDescent="0.25">
      <c r="A43" s="5" t="s">
        <v>76</v>
      </c>
      <c r="B43" s="6">
        <v>4200000</v>
      </c>
    </row>
    <row r="44" spans="1:14" x14ac:dyDescent="0.25">
      <c r="A44" s="5" t="s">
        <v>77</v>
      </c>
      <c r="B44" s="6">
        <v>900000</v>
      </c>
    </row>
    <row r="45" spans="1:14" x14ac:dyDescent="0.25">
      <c r="A45" s="5" t="s">
        <v>78</v>
      </c>
      <c r="B45" s="6">
        <v>600000</v>
      </c>
    </row>
    <row r="46" spans="1:14" x14ac:dyDescent="0.25">
      <c r="A46" s="5" t="s">
        <v>79</v>
      </c>
      <c r="B46" s="6">
        <v>1200000</v>
      </c>
    </row>
    <row r="47" spans="1:14" x14ac:dyDescent="0.25">
      <c r="A47" s="5" t="s">
        <v>80</v>
      </c>
      <c r="B47" s="6">
        <v>1000000</v>
      </c>
    </row>
    <row r="48" spans="1:14" x14ac:dyDescent="0.25">
      <c r="A48" s="5" t="s">
        <v>81</v>
      </c>
      <c r="B48" s="6">
        <v>500000</v>
      </c>
    </row>
    <row r="49" spans="1:6" x14ac:dyDescent="0.25">
      <c r="A49" s="5" t="s">
        <v>82</v>
      </c>
      <c r="B49" s="6">
        <v>500000</v>
      </c>
    </row>
    <row r="50" spans="1:6" x14ac:dyDescent="0.25">
      <c r="A50" s="5" t="s">
        <v>83</v>
      </c>
      <c r="B50" s="6">
        <v>600000</v>
      </c>
    </row>
    <row r="51" spans="1:6" x14ac:dyDescent="0.25">
      <c r="A51" s="9" t="s">
        <v>84</v>
      </c>
      <c r="B51" s="10">
        <f>SUM(B43:B50)</f>
        <v>9500000</v>
      </c>
    </row>
    <row r="52" spans="1:6" x14ac:dyDescent="0.25">
      <c r="A52" s="5" t="s">
        <v>85</v>
      </c>
      <c r="B52" s="14">
        <v>12000000</v>
      </c>
    </row>
    <row r="53" spans="1:6" x14ac:dyDescent="0.25">
      <c r="A53" s="5" t="s">
        <v>86</v>
      </c>
      <c r="B53" s="15">
        <f>B52-B51</f>
        <v>2500000</v>
      </c>
      <c r="F53" s="2" t="s">
        <v>87</v>
      </c>
    </row>
    <row r="55" spans="1:6" x14ac:dyDescent="0.25">
      <c r="A55" s="3" t="s">
        <v>88</v>
      </c>
      <c r="B55" s="4" t="s">
        <v>44</v>
      </c>
      <c r="C55" s="4"/>
      <c r="D55" s="4"/>
      <c r="E55" s="4"/>
      <c r="F55" s="4" t="s">
        <v>7</v>
      </c>
    </row>
    <row r="56" spans="1:6" x14ac:dyDescent="0.25">
      <c r="A56" s="5" t="s">
        <v>89</v>
      </c>
      <c r="B56" s="23">
        <v>40000</v>
      </c>
      <c r="F56" s="2" t="s">
        <v>90</v>
      </c>
    </row>
    <row r="57" spans="1:6" x14ac:dyDescent="0.25">
      <c r="A57" s="5" t="s">
        <v>91</v>
      </c>
      <c r="B57" s="23">
        <v>6000</v>
      </c>
      <c r="F57" s="2" t="s">
        <v>92</v>
      </c>
    </row>
    <row r="58" spans="1:6" x14ac:dyDescent="0.25">
      <c r="A58" s="5" t="s">
        <v>93</v>
      </c>
      <c r="B58" s="24">
        <f>B57/B56</f>
        <v>0.15</v>
      </c>
    </row>
    <row r="59" spans="1:6" x14ac:dyDescent="0.25">
      <c r="A59" s="5" t="s">
        <v>94</v>
      </c>
      <c r="B59" s="15">
        <f>B57*B11</f>
        <v>360000000</v>
      </c>
      <c r="F59" s="2" t="s">
        <v>95</v>
      </c>
    </row>
    <row r="60" spans="1:6" x14ac:dyDescent="0.25">
      <c r="A60" s="5" t="s">
        <v>96</v>
      </c>
      <c r="B60" s="25">
        <f>B59/10^7</f>
        <v>36</v>
      </c>
    </row>
    <row r="61" spans="1:6" x14ac:dyDescent="0.25">
      <c r="A61" s="5" t="s">
        <v>97</v>
      </c>
      <c r="B61" s="24">
        <f>D12/B57</f>
        <v>0.09</v>
      </c>
    </row>
    <row r="63" spans="1:6" x14ac:dyDescent="0.25">
      <c r="A63" s="3" t="s">
        <v>98</v>
      </c>
      <c r="B63" s="4" t="s">
        <v>44</v>
      </c>
      <c r="C63" s="4"/>
      <c r="D63" s="4"/>
      <c r="E63" s="4"/>
      <c r="F63" s="4" t="s">
        <v>7</v>
      </c>
    </row>
    <row r="64" spans="1:6" x14ac:dyDescent="0.25">
      <c r="A64" s="5" t="s">
        <v>99</v>
      </c>
      <c r="B64" s="15">
        <f>B11-B13</f>
        <v>57000</v>
      </c>
    </row>
    <row r="65" spans="1:6" x14ac:dyDescent="0.25">
      <c r="A65" s="5" t="s">
        <v>100</v>
      </c>
      <c r="B65" s="26">
        <f>IF(B64&gt;0,B27/B64,0)</f>
        <v>15.789473684210526</v>
      </c>
      <c r="F65" s="2" t="s">
        <v>101</v>
      </c>
    </row>
    <row r="66" spans="1:6" x14ac:dyDescent="0.25">
      <c r="A66" s="27" t="s">
        <v>102</v>
      </c>
      <c r="B66" s="22">
        <f>ROUNDUP(B65,0)</f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14" width="12" customWidth="1"/>
  </cols>
  <sheetData>
    <row r="1" spans="1:14" ht="18" x14ac:dyDescent="0.25">
      <c r="A1" s="1" t="s">
        <v>103</v>
      </c>
    </row>
    <row r="2" spans="1:14" x14ac:dyDescent="0.25">
      <c r="A2" s="2" t="s">
        <v>104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4" x14ac:dyDescent="0.25">
      <c r="A3" s="3" t="s">
        <v>105</v>
      </c>
      <c r="B3" s="28" t="str">
        <f>Assumptions!B39</f>
        <v>Jan-27</v>
      </c>
      <c r="C3" s="28" t="str">
        <f>Assumptions!C39</f>
        <v>Feb-27</v>
      </c>
      <c r="D3" s="28" t="str">
        <f>Assumptions!D39</f>
        <v>Mar-27</v>
      </c>
      <c r="E3" s="28" t="str">
        <f>Assumptions!E39</f>
        <v>Apr-27</v>
      </c>
      <c r="F3" s="28" t="str">
        <f>Assumptions!F39</f>
        <v>May-27</v>
      </c>
      <c r="G3" s="28" t="str">
        <f>Assumptions!G39</f>
        <v>Jun-27</v>
      </c>
      <c r="H3" s="28" t="str">
        <f>Assumptions!H39</f>
        <v>Jul-27</v>
      </c>
      <c r="I3" s="28" t="str">
        <f>Assumptions!I39</f>
        <v>Aug-27</v>
      </c>
      <c r="J3" s="28" t="str">
        <f>Assumptions!J39</f>
        <v>Sep-27</v>
      </c>
      <c r="K3" s="28" t="str">
        <f>Assumptions!K39</f>
        <v>Oct-27</v>
      </c>
      <c r="L3" s="28" t="str">
        <f>Assumptions!L39</f>
        <v>Nov-27</v>
      </c>
      <c r="M3" s="28" t="str">
        <f>Assumptions!M39</f>
        <v>Dec-27</v>
      </c>
      <c r="N3" s="3" t="s">
        <v>106</v>
      </c>
    </row>
    <row r="4" spans="1:14" x14ac:dyDescent="0.25">
      <c r="A4" s="5" t="s">
        <v>73</v>
      </c>
      <c r="B4" s="29">
        <f>Assumptions!B40</f>
        <v>6</v>
      </c>
      <c r="C4" s="29">
        <f>Assumptions!C40</f>
        <v>8</v>
      </c>
      <c r="D4" s="29">
        <f>Assumptions!D40</f>
        <v>10</v>
      </c>
      <c r="E4" s="29">
        <f>Assumptions!E40</f>
        <v>12</v>
      </c>
      <c r="F4" s="29">
        <f>Assumptions!F40</f>
        <v>14</v>
      </c>
      <c r="G4" s="29">
        <f>Assumptions!G40</f>
        <v>16</v>
      </c>
      <c r="H4" s="29">
        <f>Assumptions!H40</f>
        <v>18</v>
      </c>
      <c r="I4" s="29">
        <f>Assumptions!I40</f>
        <v>20</v>
      </c>
      <c r="J4" s="29">
        <f>Assumptions!J40</f>
        <v>22</v>
      </c>
      <c r="K4" s="29">
        <f>Assumptions!K40</f>
        <v>24</v>
      </c>
      <c r="L4" s="29">
        <f>Assumptions!L40</f>
        <v>26</v>
      </c>
      <c r="M4" s="29">
        <f>Assumptions!M40</f>
        <v>28</v>
      </c>
      <c r="N4" s="22">
        <f t="shared" ref="N4:N11" si="0">SUM(B4:M4)</f>
        <v>204</v>
      </c>
    </row>
    <row r="5" spans="1:14" x14ac:dyDescent="0.25">
      <c r="A5" s="5" t="s">
        <v>107</v>
      </c>
      <c r="B5" s="15">
        <f>B4*Assumptions!$B$11</f>
        <v>360000</v>
      </c>
      <c r="C5" s="15">
        <f>C4*Assumptions!$B$11</f>
        <v>480000</v>
      </c>
      <c r="D5" s="15">
        <f>D4*Assumptions!$B$11</f>
        <v>600000</v>
      </c>
      <c r="E5" s="15">
        <f>E4*Assumptions!$B$11</f>
        <v>720000</v>
      </c>
      <c r="F5" s="15">
        <f>F4*Assumptions!$B$11</f>
        <v>840000</v>
      </c>
      <c r="G5" s="15">
        <f>G4*Assumptions!$B$11</f>
        <v>960000</v>
      </c>
      <c r="H5" s="15">
        <f>H4*Assumptions!$B$11</f>
        <v>1080000</v>
      </c>
      <c r="I5" s="15">
        <f>I4*Assumptions!$B$11</f>
        <v>1200000</v>
      </c>
      <c r="J5" s="15">
        <f>J4*Assumptions!$B$11</f>
        <v>1320000</v>
      </c>
      <c r="K5" s="15">
        <f>K4*Assumptions!$B$11</f>
        <v>1440000</v>
      </c>
      <c r="L5" s="15">
        <f>L4*Assumptions!$B$11</f>
        <v>1560000</v>
      </c>
      <c r="M5" s="15">
        <f>M4*Assumptions!$B$11</f>
        <v>1680000</v>
      </c>
      <c r="N5" s="30">
        <f t="shared" si="0"/>
        <v>12240000</v>
      </c>
    </row>
    <row r="6" spans="1:14" x14ac:dyDescent="0.25">
      <c r="A6" s="5" t="s">
        <v>108</v>
      </c>
      <c r="B6" s="15">
        <f>IF(B2&gt;=Assumptions!$B$36,Assumptions!$B$14/(12-Assumptions!$B$36+1),0)</f>
        <v>0</v>
      </c>
      <c r="C6" s="15">
        <f>IF(C2&gt;=Assumptions!$B$36,Assumptions!$B$14/(12-Assumptions!$B$36+1),0)</f>
        <v>0</v>
      </c>
      <c r="D6" s="15">
        <f>IF(D2&gt;=Assumptions!$B$36,Assumptions!$B$14/(12-Assumptions!$B$36+1),0)</f>
        <v>0</v>
      </c>
      <c r="E6" s="15">
        <f>IF(E2&gt;=Assumptions!$B$36,Assumptions!$B$14/(12-Assumptions!$B$36+1),0)</f>
        <v>0</v>
      </c>
      <c r="F6" s="15">
        <f>IF(F2&gt;=Assumptions!$B$36,Assumptions!$B$14/(12-Assumptions!$B$36+1),0)</f>
        <v>0</v>
      </c>
      <c r="G6" s="15">
        <f>IF(G2&gt;=Assumptions!$B$36,Assumptions!$B$14/(12-Assumptions!$B$36+1),0)</f>
        <v>0</v>
      </c>
      <c r="H6" s="15">
        <f>IF(H2&gt;=Assumptions!$B$36,Assumptions!$B$14/(12-Assumptions!$B$36+1),0)</f>
        <v>166666.66666666666</v>
      </c>
      <c r="I6" s="15">
        <f>IF(I2&gt;=Assumptions!$B$36,Assumptions!$B$14/(12-Assumptions!$B$36+1),0)</f>
        <v>166666.66666666666</v>
      </c>
      <c r="J6" s="15">
        <f>IF(J2&gt;=Assumptions!$B$36,Assumptions!$B$14/(12-Assumptions!$B$36+1),0)</f>
        <v>166666.66666666666</v>
      </c>
      <c r="K6" s="15">
        <f>IF(K2&gt;=Assumptions!$B$36,Assumptions!$B$14/(12-Assumptions!$B$36+1),0)</f>
        <v>166666.66666666666</v>
      </c>
      <c r="L6" s="15">
        <f>IF(L2&gt;=Assumptions!$B$36,Assumptions!$B$14/(12-Assumptions!$B$36+1),0)</f>
        <v>166666.66666666666</v>
      </c>
      <c r="M6" s="15">
        <f>IF(M2&gt;=Assumptions!$B$36,Assumptions!$B$14/(12-Assumptions!$B$36+1),0)</f>
        <v>166666.66666666666</v>
      </c>
      <c r="N6" s="30">
        <f t="shared" si="0"/>
        <v>999999.99999999988</v>
      </c>
    </row>
    <row r="7" spans="1:14" x14ac:dyDescent="0.25">
      <c r="A7" s="9" t="s">
        <v>109</v>
      </c>
      <c r="B7" s="10">
        <f t="shared" ref="B7:M7" si="1">B5+B6</f>
        <v>360000</v>
      </c>
      <c r="C7" s="10">
        <f t="shared" si="1"/>
        <v>480000</v>
      </c>
      <c r="D7" s="10">
        <f t="shared" si="1"/>
        <v>600000</v>
      </c>
      <c r="E7" s="10">
        <f t="shared" si="1"/>
        <v>720000</v>
      </c>
      <c r="F7" s="10">
        <f t="shared" si="1"/>
        <v>840000</v>
      </c>
      <c r="G7" s="10">
        <f t="shared" si="1"/>
        <v>960000</v>
      </c>
      <c r="H7" s="10">
        <f t="shared" si="1"/>
        <v>1246666.6666666667</v>
      </c>
      <c r="I7" s="10">
        <f t="shared" si="1"/>
        <v>1366666.6666666667</v>
      </c>
      <c r="J7" s="10">
        <f t="shared" si="1"/>
        <v>1486666.6666666667</v>
      </c>
      <c r="K7" s="10">
        <f t="shared" si="1"/>
        <v>1606666.6666666667</v>
      </c>
      <c r="L7" s="10">
        <f t="shared" si="1"/>
        <v>1726666.6666666667</v>
      </c>
      <c r="M7" s="10">
        <f t="shared" si="1"/>
        <v>1846666.6666666667</v>
      </c>
      <c r="N7" s="10">
        <f t="shared" si="0"/>
        <v>13240000</v>
      </c>
    </row>
    <row r="8" spans="1:14" x14ac:dyDescent="0.25">
      <c r="A8" s="5" t="s">
        <v>110</v>
      </c>
      <c r="B8" s="15">
        <f>B4*Assumptions!$B$13</f>
        <v>18000</v>
      </c>
      <c r="C8" s="15">
        <f>C4*Assumptions!$B$13</f>
        <v>24000</v>
      </c>
      <c r="D8" s="15">
        <f>D4*Assumptions!$B$13</f>
        <v>30000</v>
      </c>
      <c r="E8" s="15">
        <f>E4*Assumptions!$B$13</f>
        <v>36000</v>
      </c>
      <c r="F8" s="15">
        <f>F4*Assumptions!$B$13</f>
        <v>42000</v>
      </c>
      <c r="G8" s="15">
        <f>G4*Assumptions!$B$13</f>
        <v>48000</v>
      </c>
      <c r="H8" s="15">
        <f>H4*Assumptions!$B$13</f>
        <v>54000</v>
      </c>
      <c r="I8" s="15">
        <f>I4*Assumptions!$B$13</f>
        <v>60000</v>
      </c>
      <c r="J8" s="15">
        <f>J4*Assumptions!$B$13</f>
        <v>66000</v>
      </c>
      <c r="K8" s="15">
        <f>K4*Assumptions!$B$13</f>
        <v>72000</v>
      </c>
      <c r="L8" s="15">
        <f>L4*Assumptions!$B$13</f>
        <v>78000</v>
      </c>
      <c r="M8" s="15">
        <f>M4*Assumptions!$B$13</f>
        <v>84000</v>
      </c>
      <c r="N8" s="30">
        <f t="shared" si="0"/>
        <v>612000</v>
      </c>
    </row>
    <row r="9" spans="1:14" x14ac:dyDescent="0.25">
      <c r="A9" s="5" t="s">
        <v>111</v>
      </c>
      <c r="B9" s="31">
        <f>Assumptions!$B$27</f>
        <v>900000</v>
      </c>
      <c r="C9" s="31">
        <f>Assumptions!$B$27</f>
        <v>900000</v>
      </c>
      <c r="D9" s="31">
        <f>Assumptions!$B$27</f>
        <v>900000</v>
      </c>
      <c r="E9" s="31">
        <f>Assumptions!$B$27</f>
        <v>900000</v>
      </c>
      <c r="F9" s="31">
        <f>Assumptions!$B$27</f>
        <v>900000</v>
      </c>
      <c r="G9" s="31">
        <f>Assumptions!$B$27</f>
        <v>900000</v>
      </c>
      <c r="H9" s="31">
        <f>Assumptions!$B$27</f>
        <v>900000</v>
      </c>
      <c r="I9" s="31">
        <f>Assumptions!$B$27</f>
        <v>900000</v>
      </c>
      <c r="J9" s="31">
        <f>Assumptions!$B$27</f>
        <v>900000</v>
      </c>
      <c r="K9" s="31">
        <f>Assumptions!$B$27</f>
        <v>900000</v>
      </c>
      <c r="L9" s="31">
        <f>Assumptions!$B$27</f>
        <v>900000</v>
      </c>
      <c r="M9" s="31">
        <f>Assumptions!$B$27</f>
        <v>900000</v>
      </c>
      <c r="N9" s="30">
        <f t="shared" si="0"/>
        <v>10800000</v>
      </c>
    </row>
    <row r="10" spans="1:14" x14ac:dyDescent="0.25">
      <c r="A10" s="27" t="s">
        <v>112</v>
      </c>
      <c r="B10" s="30">
        <f t="shared" ref="B10:M10" si="2">B8+B9</f>
        <v>918000</v>
      </c>
      <c r="C10" s="30">
        <f t="shared" si="2"/>
        <v>924000</v>
      </c>
      <c r="D10" s="30">
        <f t="shared" si="2"/>
        <v>930000</v>
      </c>
      <c r="E10" s="30">
        <f t="shared" si="2"/>
        <v>936000</v>
      </c>
      <c r="F10" s="30">
        <f t="shared" si="2"/>
        <v>942000</v>
      </c>
      <c r="G10" s="30">
        <f t="shared" si="2"/>
        <v>948000</v>
      </c>
      <c r="H10" s="30">
        <f t="shared" si="2"/>
        <v>954000</v>
      </c>
      <c r="I10" s="30">
        <f t="shared" si="2"/>
        <v>960000</v>
      </c>
      <c r="J10" s="30">
        <f t="shared" si="2"/>
        <v>966000</v>
      </c>
      <c r="K10" s="30">
        <f t="shared" si="2"/>
        <v>972000</v>
      </c>
      <c r="L10" s="30">
        <f t="shared" si="2"/>
        <v>978000</v>
      </c>
      <c r="M10" s="30">
        <f t="shared" si="2"/>
        <v>984000</v>
      </c>
      <c r="N10" s="30">
        <f t="shared" si="0"/>
        <v>11412000</v>
      </c>
    </row>
    <row r="11" spans="1:14" x14ac:dyDescent="0.25">
      <c r="A11" s="9" t="s">
        <v>113</v>
      </c>
      <c r="B11" s="10">
        <f t="shared" ref="B11:M11" si="3">B7-B10</f>
        <v>-558000</v>
      </c>
      <c r="C11" s="10">
        <f t="shared" si="3"/>
        <v>-444000</v>
      </c>
      <c r="D11" s="10">
        <f t="shared" si="3"/>
        <v>-330000</v>
      </c>
      <c r="E11" s="10">
        <f t="shared" si="3"/>
        <v>-216000</v>
      </c>
      <c r="F11" s="10">
        <f t="shared" si="3"/>
        <v>-102000</v>
      </c>
      <c r="G11" s="10">
        <f t="shared" si="3"/>
        <v>12000</v>
      </c>
      <c r="H11" s="10">
        <f t="shared" si="3"/>
        <v>292666.66666666674</v>
      </c>
      <c r="I11" s="10">
        <f t="shared" si="3"/>
        <v>406666.66666666674</v>
      </c>
      <c r="J11" s="10">
        <f t="shared" si="3"/>
        <v>520666.66666666674</v>
      </c>
      <c r="K11" s="10">
        <f t="shared" si="3"/>
        <v>634666.66666666674</v>
      </c>
      <c r="L11" s="10">
        <f t="shared" si="3"/>
        <v>748666.66666666674</v>
      </c>
      <c r="M11" s="10">
        <f t="shared" si="3"/>
        <v>862666.66666666674</v>
      </c>
      <c r="N11" s="10">
        <f t="shared" si="0"/>
        <v>1828000.0000000005</v>
      </c>
    </row>
    <row r="12" spans="1:14" x14ac:dyDescent="0.25">
      <c r="A12" s="5" t="s">
        <v>114</v>
      </c>
      <c r="B12" s="15">
        <f>B11</f>
        <v>-558000</v>
      </c>
      <c r="C12" s="15">
        <f t="shared" ref="C12:M12" si="4">B12+C11</f>
        <v>-1002000</v>
      </c>
      <c r="D12" s="15">
        <f t="shared" si="4"/>
        <v>-1332000</v>
      </c>
      <c r="E12" s="15">
        <f t="shared" si="4"/>
        <v>-1548000</v>
      </c>
      <c r="F12" s="15">
        <f t="shared" si="4"/>
        <v>-1650000</v>
      </c>
      <c r="G12" s="15">
        <f t="shared" si="4"/>
        <v>-1638000</v>
      </c>
      <c r="H12" s="15">
        <f t="shared" si="4"/>
        <v>-1345333.3333333333</v>
      </c>
      <c r="I12" s="15">
        <f t="shared" si="4"/>
        <v>-938666.66666666651</v>
      </c>
      <c r="J12" s="15">
        <f t="shared" si="4"/>
        <v>-417999.99999999977</v>
      </c>
      <c r="K12" s="15">
        <f t="shared" si="4"/>
        <v>216666.66666666698</v>
      </c>
      <c r="L12" s="15">
        <f t="shared" si="4"/>
        <v>965333.33333333372</v>
      </c>
      <c r="M12" s="15">
        <f t="shared" si="4"/>
        <v>1828000.0000000005</v>
      </c>
    </row>
    <row r="13" spans="1:14" x14ac:dyDescent="0.25">
      <c r="A13" s="5" t="s">
        <v>115</v>
      </c>
      <c r="B13" s="29">
        <f>Assumptions!$B$66</f>
        <v>16</v>
      </c>
      <c r="C13" s="29">
        <f>Assumptions!$B$66</f>
        <v>16</v>
      </c>
      <c r="D13" s="29">
        <f>Assumptions!$B$66</f>
        <v>16</v>
      </c>
      <c r="E13" s="29">
        <f>Assumptions!$B$66</f>
        <v>16</v>
      </c>
      <c r="F13" s="29">
        <f>Assumptions!$B$66</f>
        <v>16</v>
      </c>
      <c r="G13" s="29">
        <f>Assumptions!$B$66</f>
        <v>16</v>
      </c>
      <c r="H13" s="29">
        <f>Assumptions!$B$66</f>
        <v>16</v>
      </c>
      <c r="I13" s="29">
        <f>Assumptions!$B$66</f>
        <v>16</v>
      </c>
      <c r="J13" s="29">
        <f>Assumptions!$B$66</f>
        <v>16</v>
      </c>
      <c r="K13" s="29">
        <f>Assumptions!$B$66</f>
        <v>16</v>
      </c>
      <c r="L13" s="29">
        <f>Assumptions!$B$66</f>
        <v>16</v>
      </c>
      <c r="M13" s="29">
        <f>Assumptions!$B$66</f>
        <v>16</v>
      </c>
    </row>
    <row r="14" spans="1:14" x14ac:dyDescent="0.25">
      <c r="A14" s="5" t="s">
        <v>116</v>
      </c>
      <c r="B14" s="32" t="str">
        <f t="shared" ref="B14:M14" si="5">IF(B4&gt;=B13,"Yes","No")</f>
        <v>No</v>
      </c>
      <c r="C14" s="32" t="str">
        <f t="shared" si="5"/>
        <v>No</v>
      </c>
      <c r="D14" s="32" t="str">
        <f t="shared" si="5"/>
        <v>No</v>
      </c>
      <c r="E14" s="32" t="str">
        <f t="shared" si="5"/>
        <v>No</v>
      </c>
      <c r="F14" s="32" t="str">
        <f t="shared" si="5"/>
        <v>No</v>
      </c>
      <c r="G14" s="32" t="str">
        <f t="shared" si="5"/>
        <v>Yes</v>
      </c>
      <c r="H14" s="32" t="str">
        <f t="shared" si="5"/>
        <v>Yes</v>
      </c>
      <c r="I14" s="32" t="str">
        <f t="shared" si="5"/>
        <v>Yes</v>
      </c>
      <c r="J14" s="32" t="str">
        <f t="shared" si="5"/>
        <v>Yes</v>
      </c>
      <c r="K14" s="32" t="str">
        <f t="shared" si="5"/>
        <v>Yes</v>
      </c>
      <c r="L14" s="32" t="str">
        <f t="shared" si="5"/>
        <v>Yes</v>
      </c>
      <c r="M14" s="32" t="str">
        <f t="shared" si="5"/>
        <v>Yes</v>
      </c>
    </row>
    <row r="15" spans="1:14" x14ac:dyDescent="0.25">
      <c r="A15" s="3" t="s">
        <v>117</v>
      </c>
    </row>
    <row r="16" spans="1:14" x14ac:dyDescent="0.25">
      <c r="A16" s="5" t="s">
        <v>118</v>
      </c>
      <c r="B16" s="26">
        <f>B4*Assumptions!$C$8/Assumptions!$B$34</f>
        <v>10.254041570438801</v>
      </c>
      <c r="C16" s="26">
        <f>C4*Assumptions!$C$8/Assumptions!$B$34</f>
        <v>13.672055427251733</v>
      </c>
      <c r="D16" s="26">
        <f>D4*Assumptions!$C$8/Assumptions!$B$34</f>
        <v>17.090069284064665</v>
      </c>
      <c r="E16" s="26">
        <f>E4*Assumptions!$C$8/Assumptions!$B$34</f>
        <v>20.508083140877602</v>
      </c>
      <c r="F16" s="26">
        <f>F4*Assumptions!$C$8/Assumptions!$B$34</f>
        <v>23.926096997690532</v>
      </c>
      <c r="G16" s="26">
        <f>G4*Assumptions!$C$8/Assumptions!$B$34</f>
        <v>27.344110854503466</v>
      </c>
      <c r="H16" s="26">
        <f>H4*Assumptions!$C$8/Assumptions!$B$34</f>
        <v>30.7621247113164</v>
      </c>
      <c r="I16" s="26">
        <f>I4*Assumptions!$C$8/Assumptions!$B$34</f>
        <v>34.18013856812933</v>
      </c>
      <c r="J16" s="26">
        <f>J4*Assumptions!$C$8/Assumptions!$B$34</f>
        <v>37.598152424942263</v>
      </c>
      <c r="K16" s="26">
        <f>K4*Assumptions!$C$8/Assumptions!$B$34</f>
        <v>41.016166281755204</v>
      </c>
      <c r="L16" s="26">
        <f>L4*Assumptions!$C$8/Assumptions!$B$34</f>
        <v>44.434180138568131</v>
      </c>
      <c r="M16" s="26">
        <f>M4*Assumptions!$C$8/Assumptions!$B$34</f>
        <v>47.852193995381064</v>
      </c>
    </row>
    <row r="17" spans="1:13" x14ac:dyDescent="0.25">
      <c r="A17" s="5" t="s">
        <v>119</v>
      </c>
      <c r="B17" s="29">
        <f>Assumptions!$B$16*Assumptions!$B$32*Assumptions!$B$33</f>
        <v>48</v>
      </c>
      <c r="C17" s="29">
        <f>Assumptions!$B$16*Assumptions!$B$32*Assumptions!$B$33</f>
        <v>48</v>
      </c>
      <c r="D17" s="29">
        <f>Assumptions!$B$16*Assumptions!$B$32*Assumptions!$B$33</f>
        <v>48</v>
      </c>
      <c r="E17" s="29">
        <f>Assumptions!$B$16*Assumptions!$B$32*Assumptions!$B$33</f>
        <v>48</v>
      </c>
      <c r="F17" s="29">
        <f>Assumptions!$B$16*Assumptions!$B$32*Assumptions!$B$33</f>
        <v>48</v>
      </c>
      <c r="G17" s="29">
        <f>Assumptions!$B$16*Assumptions!$B$32*Assumptions!$B$33</f>
        <v>48</v>
      </c>
      <c r="H17" s="29">
        <f>Assumptions!$B$16*Assumptions!$B$32*Assumptions!$B$33</f>
        <v>48</v>
      </c>
      <c r="I17" s="29">
        <f>Assumptions!$B$16*Assumptions!$B$32*Assumptions!$B$33</f>
        <v>48</v>
      </c>
      <c r="J17" s="29">
        <f>Assumptions!$B$16*Assumptions!$B$32*Assumptions!$B$33</f>
        <v>48</v>
      </c>
      <c r="K17" s="29">
        <f>Assumptions!$B$16*Assumptions!$B$32*Assumptions!$B$33</f>
        <v>48</v>
      </c>
      <c r="L17" s="29">
        <f>Assumptions!$B$16*Assumptions!$B$32*Assumptions!$B$33</f>
        <v>48</v>
      </c>
      <c r="M17" s="29">
        <f>Assumptions!$B$16*Assumptions!$B$32*Assumptions!$B$33</f>
        <v>48</v>
      </c>
    </row>
    <row r="18" spans="1:13" x14ac:dyDescent="0.25">
      <c r="A18" s="5" t="s">
        <v>120</v>
      </c>
      <c r="B18" s="24">
        <f t="shared" ref="B18:M18" si="6">IF(B17&gt;0,B16/B17,0)</f>
        <v>0.21362586605080836</v>
      </c>
      <c r="C18" s="24">
        <f t="shared" si="6"/>
        <v>0.28483448806774442</v>
      </c>
      <c r="D18" s="24">
        <f t="shared" si="6"/>
        <v>0.35604311008468054</v>
      </c>
      <c r="E18" s="24">
        <f t="shared" si="6"/>
        <v>0.42725173210161671</v>
      </c>
      <c r="F18" s="24">
        <f t="shared" si="6"/>
        <v>0.49846035411855277</v>
      </c>
      <c r="G18" s="24">
        <f t="shared" si="6"/>
        <v>0.56966897613548884</v>
      </c>
      <c r="H18" s="24">
        <f t="shared" si="6"/>
        <v>0.64087759815242495</v>
      </c>
      <c r="I18" s="24">
        <f t="shared" si="6"/>
        <v>0.71208622016936107</v>
      </c>
      <c r="J18" s="24">
        <f t="shared" si="6"/>
        <v>0.78329484218629719</v>
      </c>
      <c r="K18" s="24">
        <f t="shared" si="6"/>
        <v>0.85450346420323342</v>
      </c>
      <c r="L18" s="24">
        <f t="shared" si="6"/>
        <v>0.92571208622016943</v>
      </c>
      <c r="M18" s="24">
        <f t="shared" si="6"/>
        <v>0.99692070823710555</v>
      </c>
    </row>
    <row r="19" spans="1:13" x14ac:dyDescent="0.25">
      <c r="A19" s="3" t="s">
        <v>121</v>
      </c>
    </row>
    <row r="20" spans="1:13" x14ac:dyDescent="0.25">
      <c r="A20" s="5" t="s">
        <v>122</v>
      </c>
      <c r="B20" s="31">
        <f>Assumptions!$B$53</f>
        <v>2500000</v>
      </c>
      <c r="C20" s="15">
        <f t="shared" ref="C20:M20" si="7">B21</f>
        <v>1942000</v>
      </c>
      <c r="D20" s="15">
        <f t="shared" si="7"/>
        <v>1498000</v>
      </c>
      <c r="E20" s="15">
        <f t="shared" si="7"/>
        <v>1168000</v>
      </c>
      <c r="F20" s="15">
        <f t="shared" si="7"/>
        <v>952000</v>
      </c>
      <c r="G20" s="15">
        <f t="shared" si="7"/>
        <v>850000</v>
      </c>
      <c r="H20" s="15">
        <f t="shared" si="7"/>
        <v>862000</v>
      </c>
      <c r="I20" s="15">
        <f t="shared" si="7"/>
        <v>1154666.6666666667</v>
      </c>
      <c r="J20" s="15">
        <f t="shared" si="7"/>
        <v>1561333.3333333335</v>
      </c>
      <c r="K20" s="15">
        <f t="shared" si="7"/>
        <v>2082000.0000000002</v>
      </c>
      <c r="L20" s="15">
        <f t="shared" si="7"/>
        <v>2716666.666666667</v>
      </c>
      <c r="M20" s="15">
        <f t="shared" si="7"/>
        <v>3465333.333333334</v>
      </c>
    </row>
    <row r="21" spans="1:13" x14ac:dyDescent="0.25">
      <c r="A21" s="27" t="s">
        <v>123</v>
      </c>
      <c r="B21" s="30">
        <f t="shared" ref="B21:M21" si="8">B20+B11</f>
        <v>1942000</v>
      </c>
      <c r="C21" s="30">
        <f t="shared" si="8"/>
        <v>1498000</v>
      </c>
      <c r="D21" s="30">
        <f t="shared" si="8"/>
        <v>1168000</v>
      </c>
      <c r="E21" s="30">
        <f t="shared" si="8"/>
        <v>952000</v>
      </c>
      <c r="F21" s="30">
        <f t="shared" si="8"/>
        <v>850000</v>
      </c>
      <c r="G21" s="30">
        <f t="shared" si="8"/>
        <v>862000</v>
      </c>
      <c r="H21" s="30">
        <f t="shared" si="8"/>
        <v>1154666.6666666667</v>
      </c>
      <c r="I21" s="30">
        <f t="shared" si="8"/>
        <v>1561333.3333333335</v>
      </c>
      <c r="J21" s="30">
        <f t="shared" si="8"/>
        <v>2082000.0000000002</v>
      </c>
      <c r="K21" s="30">
        <f t="shared" si="8"/>
        <v>2716666.666666667</v>
      </c>
      <c r="L21" s="30">
        <f t="shared" si="8"/>
        <v>3465333.333333334</v>
      </c>
      <c r="M21" s="30">
        <f t="shared" si="8"/>
        <v>4328000.0000000009</v>
      </c>
    </row>
    <row r="22" spans="1:13" x14ac:dyDescent="0.25">
      <c r="A22" s="2" t="s">
        <v>124</v>
      </c>
    </row>
    <row r="23" spans="1:13" x14ac:dyDescent="0.25">
      <c r="A23" s="2" t="s">
        <v>125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0" customWidth="1"/>
    <col min="2" max="4" width="16" customWidth="1"/>
  </cols>
  <sheetData>
    <row r="1" spans="1:4" ht="18" x14ac:dyDescent="0.25">
      <c r="A1" s="1" t="s">
        <v>126</v>
      </c>
    </row>
    <row r="3" spans="1:4" x14ac:dyDescent="0.25">
      <c r="A3" s="3" t="s">
        <v>105</v>
      </c>
      <c r="B3" s="4" t="s">
        <v>14</v>
      </c>
      <c r="C3" s="4" t="s">
        <v>15</v>
      </c>
      <c r="D3" s="4" t="s">
        <v>16</v>
      </c>
    </row>
    <row r="4" spans="1:4" x14ac:dyDescent="0.25">
      <c r="A4" s="5" t="s">
        <v>19</v>
      </c>
      <c r="B4" s="33">
        <f>Assumptions!B12</f>
        <v>204</v>
      </c>
      <c r="C4" s="33">
        <f>Assumptions!C12</f>
        <v>420</v>
      </c>
      <c r="D4" s="33">
        <f>Assumptions!D12</f>
        <v>540</v>
      </c>
    </row>
    <row r="5" spans="1:4" x14ac:dyDescent="0.25">
      <c r="A5" s="5" t="s">
        <v>127</v>
      </c>
      <c r="B5" s="31">
        <f>Assumptions!B11</f>
        <v>60000</v>
      </c>
      <c r="C5" s="31">
        <f>Assumptions!C11</f>
        <v>62000</v>
      </c>
      <c r="D5" s="31">
        <f>Assumptions!D11</f>
        <v>65000</v>
      </c>
    </row>
    <row r="6" spans="1:4" x14ac:dyDescent="0.25">
      <c r="A6" s="5" t="s">
        <v>107</v>
      </c>
      <c r="B6" s="15">
        <f>B4*B5</f>
        <v>12240000</v>
      </c>
      <c r="C6" s="15">
        <f>C4*C5</f>
        <v>26040000</v>
      </c>
      <c r="D6" s="15">
        <f>D4*D5</f>
        <v>35100000</v>
      </c>
    </row>
    <row r="7" spans="1:4" x14ac:dyDescent="0.25">
      <c r="A7" s="5" t="s">
        <v>108</v>
      </c>
      <c r="B7" s="31">
        <f>Assumptions!B14</f>
        <v>1000000</v>
      </c>
      <c r="C7" s="31">
        <f>Assumptions!C14</f>
        <v>4000000</v>
      </c>
      <c r="D7" s="31">
        <f>Assumptions!D14</f>
        <v>7500000</v>
      </c>
    </row>
    <row r="8" spans="1:4" x14ac:dyDescent="0.25">
      <c r="A8" s="9" t="s">
        <v>109</v>
      </c>
      <c r="B8" s="10">
        <f>B6+B7</f>
        <v>13240000</v>
      </c>
      <c r="C8" s="10">
        <f>C6+C7</f>
        <v>30040000</v>
      </c>
      <c r="D8" s="10">
        <f>D6+D7</f>
        <v>42600000</v>
      </c>
    </row>
    <row r="9" spans="1:4" x14ac:dyDescent="0.25">
      <c r="A9" s="5" t="s">
        <v>110</v>
      </c>
      <c r="B9" s="15">
        <f>B4*Assumptions!B13</f>
        <v>612000</v>
      </c>
      <c r="C9" s="15">
        <f>C4*Assumptions!C13</f>
        <v>1260000</v>
      </c>
      <c r="D9" s="15">
        <f>D4*Assumptions!D13</f>
        <v>1620000</v>
      </c>
    </row>
    <row r="10" spans="1:4" x14ac:dyDescent="0.25">
      <c r="A10" s="5" t="s">
        <v>111</v>
      </c>
      <c r="B10" s="15">
        <f>Assumptions!B27*12</f>
        <v>10800000</v>
      </c>
      <c r="C10" s="15">
        <f>Assumptions!C27*12</f>
        <v>16080000</v>
      </c>
      <c r="D10" s="15">
        <f>Assumptions!D27*12</f>
        <v>21060000</v>
      </c>
    </row>
    <row r="11" spans="1:4" x14ac:dyDescent="0.25">
      <c r="A11" s="27" t="s">
        <v>112</v>
      </c>
      <c r="B11" s="30">
        <f>B9+B10</f>
        <v>11412000</v>
      </c>
      <c r="C11" s="30">
        <f>C9+C10</f>
        <v>17340000</v>
      </c>
      <c r="D11" s="30">
        <f>D9+D10</f>
        <v>22680000</v>
      </c>
    </row>
    <row r="12" spans="1:4" x14ac:dyDescent="0.25">
      <c r="A12" s="9" t="s">
        <v>113</v>
      </c>
      <c r="B12" s="10">
        <f>B8-B11</f>
        <v>1828000</v>
      </c>
      <c r="C12" s="10">
        <f>C8-C11</f>
        <v>12700000</v>
      </c>
      <c r="D12" s="10">
        <f>D8-D11</f>
        <v>19920000</v>
      </c>
    </row>
    <row r="13" spans="1:4" x14ac:dyDescent="0.25">
      <c r="A13" s="5" t="s">
        <v>128</v>
      </c>
      <c r="B13" s="24">
        <f>IF(B8&gt;0,B12/B8,0)</f>
        <v>0.13806646525679758</v>
      </c>
      <c r="C13" s="24">
        <f>IF(C8&gt;0,C12/C8,0)</f>
        <v>0.42276964047936083</v>
      </c>
      <c r="D13" s="24">
        <f>IF(D8&gt;0,D12/D8,0)</f>
        <v>0.46760563380281689</v>
      </c>
    </row>
    <row r="14" spans="1:4" x14ac:dyDescent="0.25">
      <c r="A14" s="5" t="s">
        <v>129</v>
      </c>
      <c r="B14" s="15">
        <f>Assumptions!B15*Assumptions!$B$37</f>
        <v>0</v>
      </c>
      <c r="C14" s="15">
        <f>Assumptions!C15*Assumptions!$B$37</f>
        <v>3200000</v>
      </c>
      <c r="D14" s="15">
        <f>Assumptions!D15*Assumptions!$B$37</f>
        <v>1600000</v>
      </c>
    </row>
    <row r="15" spans="1:4" x14ac:dyDescent="0.25">
      <c r="A15" s="5" t="s">
        <v>130</v>
      </c>
      <c r="B15" s="15">
        <f>B12-B14</f>
        <v>1828000</v>
      </c>
      <c r="C15" s="15">
        <f>C12-C14</f>
        <v>9500000</v>
      </c>
      <c r="D15" s="15">
        <f>D12-D14</f>
        <v>18320000</v>
      </c>
    </row>
    <row r="16" spans="1:4" x14ac:dyDescent="0.25">
      <c r="A16" s="27" t="s">
        <v>131</v>
      </c>
      <c r="B16" s="30">
        <f>-Assumptions!B51+B15</f>
        <v>-7672000</v>
      </c>
      <c r="C16" s="30">
        <f>B16+C15</f>
        <v>1828000</v>
      </c>
      <c r="D16" s="30">
        <f>C16+D15</f>
        <v>20148000</v>
      </c>
    </row>
    <row r="18" spans="1:4" x14ac:dyDescent="0.25">
      <c r="A18" s="3" t="s">
        <v>117</v>
      </c>
      <c r="B18" s="4" t="s">
        <v>14</v>
      </c>
      <c r="C18" s="4" t="s">
        <v>15</v>
      </c>
      <c r="D18" s="4" t="s">
        <v>16</v>
      </c>
    </row>
    <row r="19" spans="1:4" x14ac:dyDescent="0.25">
      <c r="A19" s="5" t="s">
        <v>27</v>
      </c>
      <c r="B19" s="29">
        <f>Assumptions!B16</f>
        <v>3</v>
      </c>
      <c r="C19" s="29">
        <f>Assumptions!C16</f>
        <v>5</v>
      </c>
      <c r="D19" s="29">
        <f>Assumptions!D16</f>
        <v>6</v>
      </c>
    </row>
    <row r="20" spans="1:4" x14ac:dyDescent="0.25">
      <c r="A20" s="5" t="s">
        <v>119</v>
      </c>
      <c r="B20" s="17">
        <f>B19*Assumptions!$B$32*Assumptions!$B$33</f>
        <v>48</v>
      </c>
      <c r="C20" s="17">
        <f>C19*Assumptions!$B$32*Assumptions!$B$33</f>
        <v>80</v>
      </c>
      <c r="D20" s="17">
        <f>D19*Assumptions!$B$32*Assumptions!$B$33</f>
        <v>96</v>
      </c>
    </row>
    <row r="21" spans="1:4" x14ac:dyDescent="0.25">
      <c r="A21" s="5" t="s">
        <v>132</v>
      </c>
      <c r="B21" s="26">
        <f>B4/12*Assumptions!$C$8/Assumptions!$B$34</f>
        <v>29.053117782909933</v>
      </c>
      <c r="C21" s="26">
        <f>C4/12*Assumptions!$C$8/Assumptions!$B$34</f>
        <v>59.815242494226325</v>
      </c>
      <c r="D21" s="26">
        <f>D4/12*Assumptions!$C$8/Assumptions!$B$34</f>
        <v>76.905311778290994</v>
      </c>
    </row>
    <row r="22" spans="1:4" x14ac:dyDescent="0.25">
      <c r="A22" s="5" t="s">
        <v>133</v>
      </c>
      <c r="B22" s="24">
        <f>IF(B20&gt;0,B21/B20,0)</f>
        <v>0.6052732871439569</v>
      </c>
      <c r="C22" s="24">
        <f>IF(C20&gt;0,C21/C20,0)</f>
        <v>0.74769053117782902</v>
      </c>
      <c r="D22" s="24">
        <f>IF(D20&gt;0,D21/D20,0)</f>
        <v>0.80109699769053122</v>
      </c>
    </row>
    <row r="23" spans="1:4" x14ac:dyDescent="0.25">
      <c r="A23" s="2" t="s">
        <v>134</v>
      </c>
    </row>
    <row r="25" spans="1:4" x14ac:dyDescent="0.25">
      <c r="A25" s="3" t="s">
        <v>135</v>
      </c>
      <c r="B25" s="4" t="s">
        <v>14</v>
      </c>
      <c r="C25" s="4" t="s">
        <v>15</v>
      </c>
      <c r="D25" s="4" t="s">
        <v>16</v>
      </c>
    </row>
    <row r="26" spans="1:4" x14ac:dyDescent="0.25">
      <c r="A26" s="5" t="s">
        <v>136</v>
      </c>
      <c r="B26" s="34">
        <f>B4</f>
        <v>204</v>
      </c>
      <c r="C26" s="34">
        <f>C4</f>
        <v>420</v>
      </c>
      <c r="D26" s="34">
        <f>D4</f>
        <v>540</v>
      </c>
    </row>
    <row r="27" spans="1:4" x14ac:dyDescent="0.25">
      <c r="A27" s="5" t="s">
        <v>137</v>
      </c>
      <c r="B27" s="17">
        <f>B5/1000</f>
        <v>60</v>
      </c>
      <c r="C27" s="17">
        <f>C5/1000</f>
        <v>62</v>
      </c>
      <c r="D27" s="17">
        <f>D5/1000</f>
        <v>65</v>
      </c>
    </row>
    <row r="28" spans="1:4" x14ac:dyDescent="0.25">
      <c r="A28" s="5" t="s">
        <v>107</v>
      </c>
      <c r="B28" s="25">
        <f t="shared" ref="B28:D30" si="0">B6/10^7</f>
        <v>1.224</v>
      </c>
      <c r="C28" s="25">
        <f t="shared" si="0"/>
        <v>2.6040000000000001</v>
      </c>
      <c r="D28" s="25">
        <f t="shared" si="0"/>
        <v>3.51</v>
      </c>
    </row>
    <row r="29" spans="1:4" x14ac:dyDescent="0.25">
      <c r="A29" s="5" t="s">
        <v>138</v>
      </c>
      <c r="B29" s="25">
        <f t="shared" si="0"/>
        <v>0.1</v>
      </c>
      <c r="C29" s="25">
        <f t="shared" si="0"/>
        <v>0.4</v>
      </c>
      <c r="D29" s="25">
        <f t="shared" si="0"/>
        <v>0.75</v>
      </c>
    </row>
    <row r="30" spans="1:4" x14ac:dyDescent="0.25">
      <c r="A30" s="27" t="s">
        <v>109</v>
      </c>
      <c r="B30" s="35">
        <f t="shared" si="0"/>
        <v>1.3240000000000001</v>
      </c>
      <c r="C30" s="35">
        <f t="shared" si="0"/>
        <v>3.004</v>
      </c>
      <c r="D30" s="35">
        <f t="shared" si="0"/>
        <v>4.26</v>
      </c>
    </row>
    <row r="31" spans="1:4" x14ac:dyDescent="0.25">
      <c r="A31" s="5" t="s">
        <v>112</v>
      </c>
      <c r="B31" s="25">
        <f t="shared" ref="B31:D32" si="1">B11/10^7</f>
        <v>1.1412</v>
      </c>
      <c r="C31" s="25">
        <f t="shared" si="1"/>
        <v>1.734</v>
      </c>
      <c r="D31" s="25">
        <f t="shared" si="1"/>
        <v>2.2679999999999998</v>
      </c>
    </row>
    <row r="32" spans="1:4" x14ac:dyDescent="0.25">
      <c r="A32" s="27" t="s">
        <v>113</v>
      </c>
      <c r="B32" s="35">
        <f t="shared" si="1"/>
        <v>0.18279999999999999</v>
      </c>
      <c r="C32" s="35">
        <f t="shared" si="1"/>
        <v>1.27</v>
      </c>
      <c r="D32" s="35">
        <f t="shared" si="1"/>
        <v>1.992</v>
      </c>
    </row>
    <row r="33" spans="1:4" x14ac:dyDescent="0.25">
      <c r="A33" s="5" t="s">
        <v>129</v>
      </c>
      <c r="B33" s="25">
        <f>B14/10^7</f>
        <v>0</v>
      </c>
      <c r="C33" s="25">
        <f>C14/10^7</f>
        <v>0.32</v>
      </c>
      <c r="D33" s="25">
        <f>D14/10^7</f>
        <v>0.16</v>
      </c>
    </row>
    <row r="35" spans="1:4" x14ac:dyDescent="0.25">
      <c r="A35" s="3" t="s">
        <v>139</v>
      </c>
      <c r="B35" s="4" t="s">
        <v>44</v>
      </c>
    </row>
    <row r="36" spans="1:4" x14ac:dyDescent="0.25">
      <c r="A36" s="5" t="s">
        <v>140</v>
      </c>
      <c r="B36" s="15">
        <f>ROUND(B12-Year1_Monthly!N11,0)</f>
        <v>0</v>
      </c>
    </row>
    <row r="37" spans="1:4" x14ac:dyDescent="0.25">
      <c r="A37" s="5" t="s">
        <v>141</v>
      </c>
      <c r="B37" s="32" t="str">
        <f>IF(ROUND(Assumptions!E8,4)=1,"OK","CHECK")</f>
        <v>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Year1_Monthly</vt:lpstr>
      <vt:lpstr>Projection_3yr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IA-0022</cp:lastModifiedBy>
  <dcterms:created xsi:type="dcterms:W3CDTF">2026-09-29T06:04:52Z</dcterms:created>
  <dcterms:modified xsi:type="dcterms:W3CDTF">2026-09-29T06:05:01Z</dcterms:modified>
</cp:coreProperties>
</file>